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Por estado" sheetId="2" state="visible" r:id="rId4"/>
    <sheet name="Por mes" sheetId="3" state="visible" r:id="rId5"/>
    <sheet name="Etapas" sheetId="4" state="visible" r:id="rId6"/>
    <sheet name="Satisfacció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<sst xmlns="http://schemas.openxmlformats.org/spreadsheetml/2006/main" count="95" uniqueCount="89">
  <si>
    <t xml:space="preserve">Análisis de entregas de e-commerce</t>
  </si>
  <si>
    <t xml:space="preserve">Dataset público de Olist (Brasil, 2016-2018). Fuente de los valores: sql/03_analisis.sql, consulta P1.</t>
  </si>
  <si>
    <t xml:space="preserve">Indicador</t>
  </si>
  <si>
    <t xml:space="preserve">Valor</t>
  </si>
  <si>
    <t xml:space="preserve">Pedidos entregados</t>
  </si>
  <si>
    <t xml:space="preserve">Pedidos entregados tarde</t>
  </si>
  <si>
    <t xml:space="preserve">% de pedidos tarde</t>
  </si>
  <si>
    <t xml:space="preserve">Días promedio de entrega real</t>
  </si>
  <si>
    <t xml:space="preserve">Días promedio prometidos al cliente</t>
  </si>
  <si>
    <t xml:space="preserve">Margen promedio entre lo prometido y lo real (días)</t>
  </si>
  <si>
    <t xml:space="preserve">Días promedio de atraso (solo pedidos tarde)</t>
  </si>
  <si>
    <t xml:space="preserve">Las celdas B7 y B10 son fórmulas calculadas a partir de los valores de arriba.</t>
  </si>
  <si>
    <t xml:space="preserve">Atrasos por estado del cliente</t>
  </si>
  <si>
    <t xml:space="preserve">Estados con 500 pedidos o más. Ordenado de mayor a menor % de atraso.</t>
  </si>
  <si>
    <t xml:space="preserve">Estado</t>
  </si>
  <si>
    <t xml:space="preserve">Pedidos</t>
  </si>
  <si>
    <t xml:space="preserve">% tarde</t>
  </si>
  <si>
    <t xml:space="preserve">Días entrega real</t>
  </si>
  <si>
    <t xml:space="preserve">Días prometidos</t>
  </si>
  <si>
    <t xml:space="preserve">Margen (días)</t>
  </si>
  <si>
    <t xml:space="preserve">MA</t>
  </si>
  <si>
    <t xml:space="preserve">CE</t>
  </si>
  <si>
    <t xml:space="preserve">BA</t>
  </si>
  <si>
    <t xml:space="preserve">RJ</t>
  </si>
  <si>
    <t xml:space="preserve">PA</t>
  </si>
  <si>
    <t xml:space="preserve">ES</t>
  </si>
  <si>
    <t xml:space="preserve">PB</t>
  </si>
  <si>
    <t xml:space="preserve">MS</t>
  </si>
  <si>
    <t xml:space="preserve">PE</t>
  </si>
  <si>
    <t xml:space="preserve">SC</t>
  </si>
  <si>
    <t xml:space="preserve">GO</t>
  </si>
  <si>
    <t xml:space="preserve">RS</t>
  </si>
  <si>
    <t xml:space="preserve">MT</t>
  </si>
  <si>
    <t xml:space="preserve">DF</t>
  </si>
  <si>
    <t xml:space="preserve">MG</t>
  </si>
  <si>
    <t xml:space="preserve">SP</t>
  </si>
  <si>
    <t xml:space="preserve">PR</t>
  </si>
  <si>
    <t xml:space="preserve">Evolución mensual de atrasos</t>
  </si>
  <si>
    <t xml:space="preserve">Por mes de compra. Meses con 500 pedidos o más.</t>
  </si>
  <si>
    <t xml:space="preserve">Mes</t>
  </si>
  <si>
    <t xml:space="preserve">Pedidos tarde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</si>
  <si>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</si>
  <si>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</si>
  <si>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</si>
  <si>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</si>
  <si>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</si>
  <si>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</si>
  <si>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</si>
  <si>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</si>
  <si>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</si>
  <si>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</si>
  <si>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</si>
  <si>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</si>
  <si>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</si>
  <si>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</si>
  <si>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</si>
  <si>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</si>
  <si>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</si>
  <si>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</si>
  <si>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</si>
  <si>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</si>
  <si>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Tiempo promedio por etapa del pedido (días)</t>
  </si>
  <si>
    <t xml:space="preserve">Comparación entre pedidos entregados a tiempo y tarde.</t>
  </si>
  <si>
    <t xml:space="preserve">Etapa</t>
  </si>
  <si>
    <t xml:space="preserve">A tiempo</t>
  </si>
  <si>
    <t xml:space="preserve">Tarde</t>
  </si>
  <si>
    <t xml:space="preserve">Diferencia</t>
  </si>
  <si>
    <t xml:space="preserve">Aprobación del pago</t>
  </si>
  <si>
    <t xml:space="preserve">Despacho del vendedor</t>
  </si>
  <si>
    <t xml:space="preserve">Transporte al cliente</t>
  </si>
  <si>
    <t xml:space="preserve">Despacho del vendedor vs. entrega tarde</t>
  </si>
  <si>
    <t xml:space="preserve">Despacho</t>
  </si>
  <si>
    <t xml:space="preserve">% entrega tarde</t>
  </si>
  <si>
    <t xml:space="preserve">Vendedor despachó a tiempo</t>
  </si>
  <si>
    <t xml:space="preserve">Vendedor despachó tarde</t>
  </si>
  <si>
    <t xml:space="preserve">Ruta: mismo estado vs. distinto estado</t>
  </si>
  <si>
    <t xml:space="preserve">Tipo de ruta</t>
  </si>
  <si>
    <t xml:space="preserve">Distinto estado</t>
  </si>
  <si>
    <t xml:space="preserve">Mismo estado</t>
  </si>
  <si>
    <t xml:space="preserve">Impacto del atraso en la satisfacción</t>
  </si>
  <si>
    <t xml:space="preserve">Puntaje de reseña de 1 a 5. Negativa = puntaje 1 o 2.</t>
  </si>
  <si>
    <t xml:space="preserve">Rango de desvío</t>
  </si>
  <si>
    <t xml:space="preserve">Pedidos con reseña</t>
  </si>
  <si>
    <t xml:space="preserve">Puntaje promedio</t>
  </si>
  <si>
    <t xml:space="preserve">% reseñas negativas</t>
  </si>
  <si>
    <t xml:space="preserve">A tiempo o antes</t>
  </si>
  <si>
    <t xml:space="preserve">1 a 3 días tarde</t>
  </si>
  <si>
    <t xml:space="preserve">4 a 7 días tarde</t>
  </si>
  <si>
    <t xml:space="preserve">Más de 7 días tarde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</si>
</sst>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.0"/>
    <numFmt numFmtId="168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4F81BD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de pedidos entregados tarde por estado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'Por estado'!C4</c:f>
              <c:strCache>
                <c:ptCount val="1"/>
                <c:pt idx="0">
                  <c:v>% tarde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'Por estado'!$A$5:$A$21</c:f>
              <c:strCache>
                <c:ptCount val="17"/>
                <c:pt idx="0">
                  <c:v>MA</c:v>
                </c:pt>
                <c:pt idx="1">
                  <c:v>CE</c:v>
                </c:pt>
                <c:pt idx="2">
                  <c:v>BA</c:v>
                </c:pt>
                <c:pt idx="3">
                  <c:v>RJ</c:v>
                </c:pt>
                <c:pt idx="4">
                  <c:v>PA</c:v>
                </c:pt>
                <c:pt idx="5">
                  <c:v>ES</c:v>
                </c:pt>
                <c:pt idx="6">
                  <c:v>PB</c:v>
                </c:pt>
                <c:pt idx="7">
                  <c:v>MS</c:v>
                </c:pt>
                <c:pt idx="8">
                  <c:v>PE</c:v>
                </c:pt>
                <c:pt idx="9">
                  <c:v>SC</c:v>
                </c:pt>
                <c:pt idx="10">
                  <c:v>GO</c:v>
                </c:pt>
                <c:pt idx="11">
                  <c:v>RS</c:v>
                </c:pt>
                <c:pt idx="12">
                  <c:v>MT</c:v>
                </c:pt>
                <c:pt idx="13">
                  <c:v>DF</c:v>
                </c:pt>
                <c:pt idx="14">
                  <c:v>MG</c:v>
                </c:pt>
                <c:pt idx="15">
                  <c:v>SP</c:v>
                </c:pt>
                <c:pt idx="16">
                  <c:v>PR</c:v>
                </c:pt>
              </c:strCache>
            </c:strRef>
          </c:cat>
          <c:val>
            <c:numRef>
              <c:f>'Por estado'!$C$5:$C$21</c:f>
              <c:numCache>
                <c:formatCode>0.0%</c:formatCode>
                <c:ptCount val="17"/>
                <c:pt idx="0">
                  <c:v>0.174</c:v>
                </c:pt>
                <c:pt idx="1">
                  <c:v>0.138</c:v>
                </c:pt>
                <c:pt idx="2">
                  <c:v>0.122</c:v>
                </c:pt>
                <c:pt idx="3">
                  <c:v>0.121</c:v>
                </c:pt>
                <c:pt idx="4">
                  <c:v>0.112</c:v>
                </c:pt>
                <c:pt idx="5">
                  <c:v>0.107</c:v>
                </c:pt>
                <c:pt idx="6">
                  <c:v>0.104</c:v>
                </c:pt>
                <c:pt idx="7">
                  <c:v>0.097</c:v>
                </c:pt>
                <c:pt idx="8">
                  <c:v>0.096</c:v>
                </c:pt>
                <c:pt idx="9">
                  <c:v>0.082</c:v>
                </c:pt>
                <c:pt idx="10">
                  <c:v>0.065</c:v>
                </c:pt>
                <c:pt idx="11">
                  <c:v>0.061</c:v>
                </c:pt>
                <c:pt idx="12">
                  <c:v>0.06</c:v>
                </c:pt>
                <c:pt idx="13">
                  <c:v>0.057</c:v>
                </c:pt>
                <c:pt idx="14">
                  <c:v>0.046</c:v>
                </c:pt>
                <c:pt idx="15">
                  <c:v>0.045</c:v>
                </c:pt>
                <c:pt idx="16">
                  <c:v>0.04</c:v>
                </c:pt>
              </c:numCache>
            </c:numRef>
          </c:val>
        </c:ser>
        <c:gapWidth val="150"/>
        <c:overlap val="0"/>
        <c:axId val="25564051"/>
        <c:axId val="37684758"/>
      </c:barChart>
      <c:catAx>
        <c:axId val="255640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684758"/>
        <c:crosses val="autoZero"/>
        <c:auto val="1"/>
        <c:lblAlgn val="ctr"/>
        <c:lblOffset val="100"/>
        <c:noMultiLvlLbl val="0"/>
      </c:catAx>
      <c:valAx>
        <c:axId val="376847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tarde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5640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de pedidos tarde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'Por mes'!D4</c:f>
              <c:strCache>
                <c:ptCount val="1"/>
                <c:pt idx="0">
                  <c:v>% tarde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'Por mes'!$A$5:$A$24</c:f>
              <c:strCache>
                <c:ptCount val="20"/>
                <c:pt idx="0">
                  <c:v>2017-01</c:v>
                </c:pt>
                <c:pt idx="1">
                  <c:v>2017-02</c:v>
                </c:pt>
                <c:pt idx="2">
                  <c:v>2017-03</c:v>
                </c:pt>
                <c:pt idx="3">
                  <c:v>2017-04</c:v>
                </c:pt>
                <c:pt idx="4">
                  <c:v>2017-05</c:v>
                </c:pt>
                <c:pt idx="5">
                  <c:v>2017-06</c:v>
                </c:pt>
                <c:pt idx="6">
                  <c:v>2017-07</c:v>
                </c:pt>
                <c:pt idx="7">
                  <c:v>2017-08</c:v>
                </c:pt>
                <c:pt idx="8">
                  <c:v>2017-09</c:v>
                </c:pt>
                <c:pt idx="9">
                  <c:v>2017-10</c:v>
                </c:pt>
                <c:pt idx="10">
                  <c:v>2017-11</c:v>
                </c:pt>
                <c:pt idx="11">
                  <c:v>2017-12</c:v>
                </c:pt>
                <c:pt idx="12">
                  <c:v>2018-01</c:v>
                </c:pt>
                <c:pt idx="13">
                  <c:v>2018-02</c:v>
                </c:pt>
                <c:pt idx="14">
                  <c:v>2018-03</c:v>
                </c:pt>
                <c:pt idx="15">
                  <c:v>2018-04</c:v>
                </c:pt>
                <c:pt idx="16">
                  <c:v>2018-05</c:v>
                </c:pt>
                <c:pt idx="17">
                  <c:v>2018-06</c:v>
                </c:pt>
                <c:pt idx="18">
                  <c:v>2018-07</c:v>
                </c:pt>
                <c:pt idx="19">
                  <c:v>2018-08</c:v>
                </c:pt>
              </c:strCache>
            </c:strRef>
          </c:cat>
          <c:val>
            <c:numRef>
              <c:f>'Por mes'!$D$5:$D$24</c:f>
              <c:numCache>
                <c:formatCode>0.0%</c:formatCode>
                <c:ptCount val="20"/>
                <c:pt idx="0">
                  <c:v>0.0293333333333333</c:v>
                </c:pt>
                <c:pt idx="1">
                  <c:v>0.029643073200242</c:v>
                </c:pt>
                <c:pt idx="2">
                  <c:v>0.0455616653574234</c:v>
                </c:pt>
                <c:pt idx="3">
                  <c:v>0.065566652192792</c:v>
                </c:pt>
                <c:pt idx="4">
                  <c:v>0.029901269393512</c:v>
                </c:pt>
                <c:pt idx="5">
                  <c:v>0.0303030303030303</c:v>
                </c:pt>
                <c:pt idx="6">
                  <c:v>0.0278925619834711</c:v>
                </c:pt>
                <c:pt idx="7">
                  <c:v>0.0290961125685667</c:v>
                </c:pt>
                <c:pt idx="8">
                  <c:v>0.043855421686747</c:v>
                </c:pt>
                <c:pt idx="9">
                  <c:v>0.0417597141581063</c:v>
                </c:pt>
                <c:pt idx="10">
                  <c:v>0.12403951701427</c:v>
                </c:pt>
                <c:pt idx="11">
                  <c:v>0.0745510611282423</c:v>
                </c:pt>
                <c:pt idx="12">
                  <c:v>0.0570094780025463</c:v>
                </c:pt>
                <c:pt idx="13">
                  <c:v>0.141266209000763</c:v>
                </c:pt>
                <c:pt idx="14">
                  <c:v>0.18963301442239</c:v>
                </c:pt>
                <c:pt idx="15">
                  <c:v>0.0450132391879965</c:v>
                </c:pt>
                <c:pt idx="16">
                  <c:v>0.0656393539783672</c:v>
                </c:pt>
                <c:pt idx="17">
                  <c:v>0.0116469816272966</c:v>
                </c:pt>
                <c:pt idx="18">
                  <c:v>0.0337881741390513</c:v>
                </c:pt>
                <c:pt idx="19">
                  <c:v>0.0618800188946623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0864221"/>
        <c:axId val="32373924"/>
      </c:lineChart>
      <c:catAx>
        <c:axId val="308642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373924"/>
        <c:crosses val="autoZero"/>
        <c:auto val="1"/>
        <c:lblAlgn val="ctr"/>
        <c:lblOffset val="100"/>
        <c:noMultiLvlLbl val="0"/>
      </c:catAx>
      <c:valAx>
        <c:axId val="323739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8642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Días promedio por etapa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Etapas!B4</c:f>
              <c:strCache>
                <c:ptCount val="1"/>
                <c:pt idx="0">
                  <c:v>A tiempo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Etapas!$A$5:$A$7</c:f>
              <c:strCache>
                <c:ptCount val="3"/>
                <c:pt idx="0">
                  <c:v>Aprobación del pago</c:v>
                </c:pt>
                <c:pt idx="1">
                  <c:v>Despacho del vendedor</c:v>
                </c:pt>
                <c:pt idx="2">
                  <c:v>Transporte al cliente</c:v>
                </c:pt>
              </c:strCache>
            </c:strRef>
          </c:cat>
          <c:val>
            <c:numRef>
              <c:f>Etapas!$B$5:$B$7</c:f>
              <c:numCache>
                <c:formatCode>General</c:formatCode>
                <c:ptCount val="3"/>
                <c:pt idx="0">
                  <c:v>0.5</c:v>
                </c:pt>
                <c:pt idx="1">
                  <c:v>2.5</c:v>
                </c:pt>
                <c:pt idx="2">
                  <c:v>7.9</c:v>
                </c:pt>
              </c:numCache>
            </c:numRef>
          </c:val>
        </c:ser>
        <c:ser>
          <c:idx val="1"/>
          <c:order val="1"/>
          <c:tx>
            <c:strRef>
              <c:f>Etapas!C4</c:f>
              <c:strCache>
                <c:ptCount val="1"/>
                <c:pt idx="0">
                  <c:v>Tarde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Etapas!$A$5:$A$7</c:f>
              <c:strCache>
                <c:ptCount val="3"/>
                <c:pt idx="0">
                  <c:v>Aprobación del pago</c:v>
                </c:pt>
                <c:pt idx="1">
                  <c:v>Despacho del vendedor</c:v>
                </c:pt>
                <c:pt idx="2">
                  <c:v>Transporte al cliente</c:v>
                </c:pt>
              </c:strCache>
            </c:strRef>
          </c:cat>
          <c:val>
            <c:numRef>
              <c:f>Etapas!$C$5:$C$7</c:f>
              <c:numCache>
                <c:formatCode>General</c:formatCode>
                <c:ptCount val="3"/>
                <c:pt idx="0">
                  <c:v>0.6</c:v>
                </c:pt>
                <c:pt idx="1">
                  <c:v>5.4</c:v>
                </c:pt>
                <c:pt idx="2">
                  <c:v>27.9</c:v>
                </c:pt>
              </c:numCache>
            </c:numRef>
          </c:val>
        </c:ser>
        <c:gapWidth val="150"/>
        <c:overlap val="0"/>
        <c:axId val="70063637"/>
        <c:axId val="14589710"/>
      </c:barChart>
      <c:catAx>
        <c:axId val="700636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589710"/>
        <c:crosses val="autoZero"/>
        <c:auto val="1"/>
        <c:lblAlgn val="ctr"/>
        <c:lblOffset val="100"/>
        <c:noMultiLvlLbl val="0"/>
      </c:catAx>
      <c:valAx>
        <c:axId val="145897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0636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Puntaje promedio según atraso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Satisfacción!C4</c:f>
              <c:strCache>
                <c:ptCount val="1"/>
                <c:pt idx="0">
                  <c:v>Puntaje promedio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Satisfacción!$A$5:$A$8</c:f>
              <c:strCache>
                <c:ptCount val="4"/>
                <c:pt idx="0">
                  <c:v>A tiempo o antes</c:v>
                </c:pt>
                <c:pt idx="1">
                  <c:v>1 a 3 días tarde</c:v>
                </c:pt>
                <c:pt idx="2">
                  <c:v>4 a 7 días tarde</c:v>
                </c:pt>
                <c:pt idx="3">
                  <c:v>Más de 7 días tarde</c:v>
                </c:pt>
              </c:strCache>
            </c:strRef>
          </c:cat>
          <c:val>
            <c:numRef>
              <c:f>Satisfacción!$C$5:$C$8</c:f>
              <c:numCache>
                <c:formatCode>General</c:formatCode>
                <c:ptCount val="4"/>
                <c:pt idx="0">
                  <c:v>4.29</c:v>
                </c:pt>
                <c:pt idx="1">
                  <c:v>3.29</c:v>
                </c:pt>
                <c:pt idx="2">
                  <c:v>2.1</c:v>
                </c:pt>
                <c:pt idx="3">
                  <c:v>1.7</c:v>
                </c:pt>
              </c:numCache>
            </c:numRef>
          </c:val>
        </c:ser>
        <c:gapWidth val="150"/>
        <c:overlap val="0"/>
        <c:axId val="42173692"/>
        <c:axId val="81036259"/>
      </c:barChart>
      <c:catAx>
        <c:axId val="421736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036259"/>
        <c:crosses val="autoZero"/>
        <c:auto val="1"/>
        <c:lblAlgn val="ctr"/>
        <c:lblOffset val="100"/>
        <c:noMultiLvlLbl val="0"/>
      </c:catAx>
      <c:valAx>
        <c:axId val="810362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1736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160920</xdr:rowOff>
    </xdr:from>
    <xdr:to>
      <xdr:col>18</xdr:col>
      <xdr:colOff>473400</xdr:colOff>
      <xdr:row>19</xdr:row>
      <xdr:rowOff>11520</xdr:rowOff>
    </xdr:to>
    <xdr:graphicFrame>
      <xdr:nvGraphicFramePr>
        <xdr:cNvPr id="0" name="Chart 1"/>
        <xdr:cNvGraphicFramePr/>
      </xdr:nvGraphicFramePr>
      <xdr:xfrm>
        <a:off x="6391440" y="5716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16</xdr:col>
      <xdr:colOff>473040</xdr:colOff>
      <xdr:row>19</xdr:row>
      <xdr:rowOff>162000</xdr:rowOff>
    </xdr:to>
    <xdr:graphicFrame>
      <xdr:nvGraphicFramePr>
        <xdr:cNvPr id="1" name="Chart 1"/>
        <xdr:cNvGraphicFramePr/>
      </xdr:nvGraphicFramePr>
      <xdr:xfrm>
        <a:off x="4206240" y="5716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14</xdr:col>
      <xdr:colOff>255960</xdr:colOff>
      <xdr:row>16</xdr:row>
      <xdr:rowOff>222840</xdr:rowOff>
    </xdr:to>
    <xdr:graphicFrame>
      <xdr:nvGraphicFramePr>
        <xdr:cNvPr id="2" name="Chart 1"/>
        <xdr:cNvGraphicFramePr/>
      </xdr:nvGraphicFramePr>
      <xdr:xfrm>
        <a:off x="526356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14</xdr:col>
      <xdr:colOff>255960</xdr:colOff>
      <xdr:row>17</xdr:row>
      <xdr:rowOff>32400</xdr:rowOff>
    </xdr:to>
    <xdr:graphicFrame>
      <xdr:nvGraphicFramePr>
        <xdr:cNvPr id="3" name="Chart 1"/>
        <xdr:cNvGraphicFramePr/>
      </xdr:nvGraphicFramePr>
      <xdr:xfrm>
        <a:off x="625032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v>96470</v>
      </c>
    </row>
    <row r="6" customFormat="false" ht="15" hidden="false" customHeight="false" outlineLevel="0" collapsed="false">
      <c r="A6" s="4" t="s">
        <v>5</v>
      </c>
      <c r="B6" s="5" t="n">
        <v>6534</v>
      </c>
    </row>
    <row r="7" customFormat="false" ht="15" hidden="false" customHeight="false" outlineLevel="0" collapsed="false">
      <c r="A7" s="4" t="s">
        <v>6</v>
      </c>
      <c r="B7" s="6" t="n">
        <f aca="false">B6/B5</f>
        <v>0.0677309007981756</v>
      </c>
    </row>
    <row r="8" customFormat="false" ht="15" hidden="false" customHeight="false" outlineLevel="0" collapsed="false">
      <c r="A8" s="4" t="s">
        <v>7</v>
      </c>
      <c r="B8" s="7" t="n">
        <v>12.5</v>
      </c>
    </row>
    <row r="9" customFormat="false" ht="15" hidden="false" customHeight="false" outlineLevel="0" collapsed="false">
      <c r="A9" s="4" t="s">
        <v>8</v>
      </c>
      <c r="B9" s="7" t="n">
        <v>24.4</v>
      </c>
    </row>
    <row r="10" customFormat="false" ht="15" hidden="false" customHeight="false" outlineLevel="0" collapsed="false">
      <c r="A10" s="4" t="s">
        <v>9</v>
      </c>
      <c r="B10" s="7" t="n">
        <f aca="false">B9-B8</f>
        <v>11.9</v>
      </c>
    </row>
    <row r="11" customFormat="false" ht="15" hidden="false" customHeight="false" outlineLevel="0" collapsed="false">
      <c r="A11" s="4" t="s">
        <v>10</v>
      </c>
      <c r="B11" s="7" t="n">
        <v>10.6</v>
      </c>
    </row>
    <row r="13" customFormat="false" ht="15" hidden="false" customHeight="false" outlineLevel="0" collapsed="false">
      <c r="A13" s="8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5" min="4" style="0" width="18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12</v>
      </c>
    </row>
    <row r="2" customFormat="false" ht="15" hidden="false" customHeight="false" outlineLevel="0" collapsed="false">
      <c r="A2" s="2" t="s">
        <v>13</v>
      </c>
    </row>
    <row r="4" customFormat="false" ht="26.85" hidden="false" customHeight="false" outlineLevel="0" collapsed="false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</row>
    <row r="5" customFormat="false" ht="15" hidden="false" customHeight="false" outlineLevel="0" collapsed="false">
      <c r="A5" s="4" t="s">
        <v>20</v>
      </c>
      <c r="B5" s="5" t="n">
        <v>717</v>
      </c>
      <c r="C5" s="6" t="n">
        <v>0.174</v>
      </c>
      <c r="D5" s="4" t="n">
        <v>21.5</v>
      </c>
      <c r="E5" s="4" t="n">
        <v>31.1</v>
      </c>
      <c r="F5" s="7" t="n">
        <f aca="false">E5-D5</f>
        <v>9.6</v>
      </c>
    </row>
    <row r="6" customFormat="false" ht="15" hidden="false" customHeight="false" outlineLevel="0" collapsed="false">
      <c r="A6" s="4" t="s">
        <v>21</v>
      </c>
      <c r="B6" s="5" t="n">
        <v>1279</v>
      </c>
      <c r="C6" s="6" t="n">
        <v>0.138</v>
      </c>
      <c r="D6" s="4" t="n">
        <v>21.2</v>
      </c>
      <c r="E6" s="4" t="n">
        <v>32</v>
      </c>
      <c r="F6" s="7" t="n">
        <f aca="false">E6-D6</f>
        <v>10.8</v>
      </c>
    </row>
    <row r="7" customFormat="false" ht="15" hidden="false" customHeight="false" outlineLevel="0" collapsed="false">
      <c r="A7" s="4" t="s">
        <v>22</v>
      </c>
      <c r="B7" s="5" t="n">
        <v>3256</v>
      </c>
      <c r="C7" s="6" t="n">
        <v>0.122</v>
      </c>
      <c r="D7" s="4" t="n">
        <v>19.3</v>
      </c>
      <c r="E7" s="4" t="n">
        <v>30.1</v>
      </c>
      <c r="F7" s="7" t="n">
        <f aca="false">E7-D7</f>
        <v>10.8</v>
      </c>
    </row>
    <row r="8" customFormat="false" ht="15" hidden="false" customHeight="false" outlineLevel="0" collapsed="false">
      <c r="A8" s="4" t="s">
        <v>23</v>
      </c>
      <c r="B8" s="5" t="n">
        <v>12350</v>
      </c>
      <c r="C8" s="6" t="n">
        <v>0.121</v>
      </c>
      <c r="D8" s="4" t="n">
        <v>15.2</v>
      </c>
      <c r="E8" s="4" t="n">
        <v>27</v>
      </c>
      <c r="F8" s="7" t="n">
        <f aca="false">E8-D8</f>
        <v>11.8</v>
      </c>
    </row>
    <row r="9" customFormat="false" ht="15" hidden="false" customHeight="false" outlineLevel="0" collapsed="false">
      <c r="A9" s="4" t="s">
        <v>24</v>
      </c>
      <c r="B9" s="5" t="n">
        <v>946</v>
      </c>
      <c r="C9" s="6" t="n">
        <v>0.112</v>
      </c>
      <c r="D9" s="4" t="n">
        <v>23.7</v>
      </c>
      <c r="E9" s="4" t="n">
        <v>37.8</v>
      </c>
      <c r="F9" s="7" t="n">
        <f aca="false">E9-D9</f>
        <v>14.1</v>
      </c>
    </row>
    <row r="10" customFormat="false" ht="15" hidden="false" customHeight="false" outlineLevel="0" collapsed="false">
      <c r="A10" s="4" t="s">
        <v>25</v>
      </c>
      <c r="B10" s="5" t="n">
        <v>1995</v>
      </c>
      <c r="C10" s="6" t="n">
        <v>0.107</v>
      </c>
      <c r="D10" s="4" t="n">
        <v>15.7</v>
      </c>
      <c r="E10" s="4" t="n">
        <v>26.2</v>
      </c>
      <c r="F10" s="7" t="n">
        <f aca="false">E10-D10</f>
        <v>10.5</v>
      </c>
    </row>
    <row r="11" customFormat="false" ht="15" hidden="false" customHeight="false" outlineLevel="0" collapsed="false">
      <c r="A11" s="4" t="s">
        <v>26</v>
      </c>
      <c r="B11" s="5" t="n">
        <v>517</v>
      </c>
      <c r="C11" s="6" t="n">
        <v>0.104</v>
      </c>
      <c r="D11" s="4" t="n">
        <v>20.4</v>
      </c>
      <c r="E11" s="4" t="n">
        <v>33.6</v>
      </c>
      <c r="F11" s="7" t="n">
        <f aca="false">E11-D11</f>
        <v>13.2</v>
      </c>
    </row>
    <row r="12" customFormat="false" ht="15" hidden="false" customHeight="false" outlineLevel="0" collapsed="false">
      <c r="A12" s="4" t="s">
        <v>27</v>
      </c>
      <c r="B12" s="5" t="n">
        <v>701</v>
      </c>
      <c r="C12" s="6" t="n">
        <v>0.097</v>
      </c>
      <c r="D12" s="4" t="n">
        <v>15.5</v>
      </c>
      <c r="E12" s="4" t="n">
        <v>26.6</v>
      </c>
      <c r="F12" s="7" t="n">
        <f aca="false">E12-D12</f>
        <v>11.1</v>
      </c>
    </row>
    <row r="13" customFormat="false" ht="15" hidden="false" customHeight="false" outlineLevel="0" collapsed="false">
      <c r="A13" s="4" t="s">
        <v>28</v>
      </c>
      <c r="B13" s="5" t="n">
        <v>1593</v>
      </c>
      <c r="C13" s="6" t="n">
        <v>0.096</v>
      </c>
      <c r="D13" s="4" t="n">
        <v>18.4</v>
      </c>
      <c r="E13" s="4" t="n">
        <v>31.7</v>
      </c>
      <c r="F13" s="7" t="n">
        <f aca="false">E13-D13</f>
        <v>13.3</v>
      </c>
    </row>
    <row r="14" customFormat="false" ht="15" hidden="false" customHeight="false" outlineLevel="0" collapsed="false">
      <c r="A14" s="4" t="s">
        <v>29</v>
      </c>
      <c r="B14" s="5" t="n">
        <v>3546</v>
      </c>
      <c r="C14" s="6" t="n">
        <v>0.082</v>
      </c>
      <c r="D14" s="4" t="n">
        <v>14.9</v>
      </c>
      <c r="E14" s="4" t="n">
        <v>26.4</v>
      </c>
      <c r="F14" s="7" t="n">
        <f aca="false">E14-D14</f>
        <v>11.5</v>
      </c>
    </row>
    <row r="15" customFormat="false" ht="15" hidden="false" customHeight="false" outlineLevel="0" collapsed="false">
      <c r="A15" s="4" t="s">
        <v>30</v>
      </c>
      <c r="B15" s="5" t="n">
        <v>1957</v>
      </c>
      <c r="C15" s="6" t="n">
        <v>0.065</v>
      </c>
      <c r="D15" s="4" t="n">
        <v>15.5</v>
      </c>
      <c r="E15" s="4" t="n">
        <v>27.7</v>
      </c>
      <c r="F15" s="7" t="n">
        <f aca="false">E15-D15</f>
        <v>12.2</v>
      </c>
    </row>
    <row r="16" customFormat="false" ht="15" hidden="false" customHeight="false" outlineLevel="0" collapsed="false">
      <c r="A16" s="4" t="s">
        <v>31</v>
      </c>
      <c r="B16" s="5" t="n">
        <v>5344</v>
      </c>
      <c r="C16" s="6" t="n">
        <v>0.061</v>
      </c>
      <c r="D16" s="4" t="n">
        <v>15.2</v>
      </c>
      <c r="E16" s="4" t="n">
        <v>29.2</v>
      </c>
      <c r="F16" s="7" t="n">
        <f aca="false">E16-D16</f>
        <v>14</v>
      </c>
    </row>
    <row r="17" customFormat="false" ht="15" hidden="false" customHeight="false" outlineLevel="0" collapsed="false">
      <c r="A17" s="4" t="s">
        <v>32</v>
      </c>
      <c r="B17" s="5" t="n">
        <v>886</v>
      </c>
      <c r="C17" s="6" t="n">
        <v>0.06</v>
      </c>
      <c r="D17" s="4" t="n">
        <v>18</v>
      </c>
      <c r="E17" s="4" t="n">
        <v>32.4</v>
      </c>
      <c r="F17" s="7" t="n">
        <f aca="false">E17-D17</f>
        <v>14.4</v>
      </c>
    </row>
    <row r="18" customFormat="false" ht="15" hidden="false" customHeight="false" outlineLevel="0" collapsed="false">
      <c r="A18" s="4" t="s">
        <v>33</v>
      </c>
      <c r="B18" s="5" t="n">
        <v>2080</v>
      </c>
      <c r="C18" s="6" t="n">
        <v>0.057</v>
      </c>
      <c r="D18" s="4" t="n">
        <v>12.9</v>
      </c>
      <c r="E18" s="4" t="n">
        <v>24.9</v>
      </c>
      <c r="F18" s="7" t="n">
        <f aca="false">E18-D18</f>
        <v>12</v>
      </c>
    </row>
    <row r="19" customFormat="false" ht="15" hidden="false" customHeight="false" outlineLevel="0" collapsed="false">
      <c r="A19" s="4" t="s">
        <v>34</v>
      </c>
      <c r="B19" s="5" t="n">
        <v>11354</v>
      </c>
      <c r="C19" s="6" t="n">
        <v>0.046</v>
      </c>
      <c r="D19" s="4" t="n">
        <v>11.9</v>
      </c>
      <c r="E19" s="4" t="n">
        <v>25.2</v>
      </c>
      <c r="F19" s="7" t="n">
        <f aca="false">E19-D19</f>
        <v>13.3</v>
      </c>
    </row>
    <row r="20" customFormat="false" ht="15" hidden="false" customHeight="false" outlineLevel="0" collapsed="false">
      <c r="A20" s="4" t="s">
        <v>35</v>
      </c>
      <c r="B20" s="5" t="n">
        <v>40494</v>
      </c>
      <c r="C20" s="6" t="n">
        <v>0.045</v>
      </c>
      <c r="D20" s="4" t="n">
        <v>8.7</v>
      </c>
      <c r="E20" s="4" t="n">
        <v>19.8</v>
      </c>
      <c r="F20" s="7" t="n">
        <f aca="false">E20-D20</f>
        <v>11.1</v>
      </c>
    </row>
    <row r="21" customFormat="false" ht="15" hidden="false" customHeight="false" outlineLevel="0" collapsed="false">
      <c r="A21" s="4" t="s">
        <v>36</v>
      </c>
      <c r="B21" s="5" t="n">
        <v>4923</v>
      </c>
      <c r="C21" s="6" t="n">
        <v>0.04</v>
      </c>
      <c r="D21" s="4" t="n">
        <v>11.9</v>
      </c>
      <c r="E21" s="4" t="n">
        <v>25.3</v>
      </c>
      <c r="F21" s="7" t="n">
        <f aca="false">E21-D21</f>
        <v>13.4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5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4" customFormat="false" ht="15" hidden="false" customHeight="false" outlineLevel="0" collapsed="false">
      <c r="A4" s="3" t="s">
        <v>39</v>
      </c>
      <c r="B4" s="3" t="s">
        <v>15</v>
      </c>
      <c r="C4" s="3" t="s">
        <v>40</v>
      </c>
      <c r="D4" s="3" t="s">
        <v>16</v>
      </c>
    </row>
    <row r="5" customFormat="false" ht="15" hidden="false" customHeight="false" outlineLevel="0" collapsed="false">
      <c r="A5" s="4" t="s">
        <v>41</v>
      </c>
      <c r="B5" s="4" t="n">
        <v>750</v>
      </c>
      <c r="C5" s="4" t="n">
        <v>22</v>
      </c>
      <c r="D5" s="6" t="n">
        <f aca="false">C5/B5</f>
        <v>0.0293333333333333</v>
      </c>
    </row>
    <row r="6" customFormat="false" ht="15" hidden="false" customHeight="false" outlineLevel="0" collapsed="false">
      <c r="A6" s="4" t="s">
        <v>42</v>
      </c>
      <c r="B6" s="4" t="n">
        <v>1653</v>
      </c>
      <c r="C6" s="4" t="n">
        <v>49</v>
      </c>
      <c r="D6" s="6" t="n">
        <f aca="false">C6/B6</f>
        <v>0.029643073200242</v>
      </c>
    </row>
    <row r="7" customFormat="false" ht="15" hidden="false" customHeight="false" outlineLevel="0" collapsed="false">
      <c r="A7" s="4" t="s">
        <v>43</v>
      </c>
      <c r="B7" s="4" t="n">
        <v>2546</v>
      </c>
      <c r="C7" s="4" t="n">
        <v>116</v>
      </c>
      <c r="D7" s="6" t="n">
        <f aca="false">C7/B7</f>
        <v>0.0455616653574234</v>
      </c>
    </row>
    <row r="8" customFormat="false" ht="15" hidden="false" customHeight="false" outlineLevel="0" collapsed="false">
      <c r="A8" s="4" t="s">
        <v>44</v>
      </c>
      <c r="B8" s="4" t="n">
        <v>2303</v>
      </c>
      <c r="C8" s="4" t="n">
        <v>151</v>
      </c>
      <c r="D8" s="6" t="n">
        <f aca="false">C8/B8</f>
        <v>0.065566652192792</v>
      </c>
    </row>
    <row r="9" customFormat="false" ht="15" hidden="false" customHeight="false" outlineLevel="0" collapsed="false">
      <c r="A9" s="4" t="s">
        <v>45</v>
      </c>
      <c r="B9" s="4" t="n">
        <v>3545</v>
      </c>
      <c r="C9" s="4" t="n">
        <v>106</v>
      </c>
      <c r="D9" s="6" t="n">
        <f aca="false">C9/B9</f>
        <v>0.029901269393512</v>
      </c>
    </row>
    <row r="10" customFormat="false" ht="15" hidden="false" customHeight="false" outlineLevel="0" collapsed="false">
      <c r="A10" s="4" t="s">
        <v>46</v>
      </c>
      <c r="B10" s="4" t="n">
        <v>3135</v>
      </c>
      <c r="C10" s="4" t="n">
        <v>95</v>
      </c>
      <c r="D10" s="6" t="n">
        <f aca="false">C10/B10</f>
        <v>0.0303030303030303</v>
      </c>
    </row>
    <row r="11" customFormat="false" ht="15" hidden="false" customHeight="false" outlineLevel="0" collapsed="false">
      <c r="A11" s="4" t="s">
        <v>47</v>
      </c>
      <c r="B11" s="4" t="n">
        <v>3872</v>
      </c>
      <c r="C11" s="4" t="n">
        <v>108</v>
      </c>
      <c r="D11" s="6" t="n">
        <f aca="false">C11/B11</f>
        <v>0.0278925619834711</v>
      </c>
    </row>
    <row r="12" customFormat="false" ht="15" hidden="false" customHeight="false" outlineLevel="0" collapsed="false">
      <c r="A12" s="4" t="s">
        <v>48</v>
      </c>
      <c r="B12" s="4" t="n">
        <v>4193</v>
      </c>
      <c r="C12" s="4" t="n">
        <v>122</v>
      </c>
      <c r="D12" s="6" t="n">
        <f aca="false">C12/B12</f>
        <v>0.0290961125685667</v>
      </c>
    </row>
    <row r="13" customFormat="false" ht="15" hidden="false" customHeight="false" outlineLevel="0" collapsed="false">
      <c r="A13" s="4" t="s">
        <v>49</v>
      </c>
      <c r="B13" s="4" t="n">
        <v>4150</v>
      </c>
      <c r="C13" s="4" t="n">
        <v>182</v>
      </c>
      <c r="D13" s="6" t="n">
        <f aca="false">C13/B13</f>
        <v>0.043855421686747</v>
      </c>
    </row>
    <row r="14" customFormat="false" ht="15" hidden="false" customHeight="false" outlineLevel="0" collapsed="false">
      <c r="A14" s="4" t="s">
        <v>50</v>
      </c>
      <c r="B14" s="4" t="n">
        <v>4478</v>
      </c>
      <c r="C14" s="4" t="n">
        <v>187</v>
      </c>
      <c r="D14" s="6" t="n">
        <f aca="false">C14/B14</f>
        <v>0.0417597141581063</v>
      </c>
    </row>
    <row r="15" customFormat="false" ht="15" hidden="false" customHeight="false" outlineLevel="0" collapsed="false">
      <c r="A15" s="4" t="s">
        <v>51</v>
      </c>
      <c r="B15" s="4" t="n">
        <v>7288</v>
      </c>
      <c r="C15" s="4" t="n">
        <v>904</v>
      </c>
      <c r="D15" s="6" t="n">
        <f aca="false">C15/B15</f>
        <v>0.12403951701427</v>
      </c>
    </row>
    <row r="16" customFormat="false" ht="15" hidden="false" customHeight="false" outlineLevel="0" collapsed="false">
      <c r="A16" s="4" t="s">
        <v>52</v>
      </c>
      <c r="B16" s="4" t="n">
        <v>5513</v>
      </c>
      <c r="C16" s="4" t="n">
        <v>411</v>
      </c>
      <c r="D16" s="6" t="n">
        <f aca="false">C16/B16</f>
        <v>0.0745510611282423</v>
      </c>
    </row>
    <row r="17" customFormat="false" ht="15" hidden="false" customHeight="false" outlineLevel="0" collapsed="false">
      <c r="A17" s="4" t="s">
        <v>53</v>
      </c>
      <c r="B17" s="4" t="n">
        <v>7069</v>
      </c>
      <c r="C17" s="4" t="n">
        <v>403</v>
      </c>
      <c r="D17" s="6" t="n">
        <f aca="false">C17/B17</f>
        <v>0.0570094780025463</v>
      </c>
    </row>
    <row r="18" customFormat="false" ht="15" hidden="false" customHeight="false" outlineLevel="0" collapsed="false">
      <c r="A18" s="4" t="s">
        <v>54</v>
      </c>
      <c r="B18" s="4" t="n">
        <v>6555</v>
      </c>
      <c r="C18" s="4" t="n">
        <v>926</v>
      </c>
      <c r="D18" s="6" t="n">
        <f aca="false">C18/B18</f>
        <v>0.141266209000763</v>
      </c>
    </row>
    <row r="19" customFormat="false" ht="15" hidden="false" customHeight="false" outlineLevel="0" collapsed="false">
      <c r="A19" s="4" t="s">
        <v>55</v>
      </c>
      <c r="B19" s="4" t="n">
        <v>7003</v>
      </c>
      <c r="C19" s="4" t="n">
        <v>1328</v>
      </c>
      <c r="D19" s="6" t="n">
        <f aca="false">C19/B19</f>
        <v>0.18963301442239</v>
      </c>
    </row>
    <row r="20" customFormat="false" ht="15" hidden="false" customHeight="false" outlineLevel="0" collapsed="false">
      <c r="A20" s="4" t="s">
        <v>56</v>
      </c>
      <c r="B20" s="4" t="n">
        <v>6798</v>
      </c>
      <c r="C20" s="4" t="n">
        <v>306</v>
      </c>
      <c r="D20" s="6" t="n">
        <f aca="false">C20/B20</f>
        <v>0.0450132391879965</v>
      </c>
    </row>
    <row r="21" customFormat="false" ht="15" hidden="false" customHeight="false" outlineLevel="0" collapsed="false">
      <c r="A21" s="4" t="s">
        <v>57</v>
      </c>
      <c r="B21" s="4" t="n">
        <v>6749</v>
      </c>
      <c r="C21" s="4" t="n">
        <v>443</v>
      </c>
      <c r="D21" s="6" t="n">
        <f aca="false">C21/B21</f>
        <v>0.0656393539783672</v>
      </c>
    </row>
    <row r="22" customFormat="false" ht="15" hidden="false" customHeight="false" outlineLevel="0" collapsed="false">
      <c r="A22" s="4" t="s">
        <v>58</v>
      </c>
      <c r="B22" s="4" t="n">
        <v>6096</v>
      </c>
      <c r="C22" s="4" t="n">
        <v>71</v>
      </c>
      <c r="D22" s="6" t="n">
        <f aca="false">C22/B22</f>
        <v>0.0116469816272966</v>
      </c>
    </row>
    <row r="23" customFormat="false" ht="15" hidden="false" customHeight="false" outlineLevel="0" collapsed="false">
      <c r="A23" s="4" t="s">
        <v>59</v>
      </c>
      <c r="B23" s="4" t="n">
        <v>6156</v>
      </c>
      <c r="C23" s="4" t="n">
        <v>208</v>
      </c>
      <c r="D23" s="6" t="n">
        <f aca="false">C23/B23</f>
        <v>0.0337881741390513</v>
      </c>
    </row>
    <row r="24" customFormat="false" ht="15" hidden="false" customHeight="false" outlineLevel="0" collapsed="false">
      <c r="A24" s="4" t="s">
        <v>60</v>
      </c>
      <c r="B24" s="4" t="n">
        <v>6351</v>
      </c>
      <c r="C24" s="4" t="n">
        <v>393</v>
      </c>
      <c r="D24" s="6" t="n">
        <f aca="false">C24/B24</f>
        <v>0.0618800188946623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2"/>
  </cols>
  <sheetData>
    <row r="1" customFormat="false" ht="17.3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4" customFormat="false" ht="15" hidden="false" customHeight="false" outlineLevel="0" collapsed="false">
      <c r="A4" s="3" t="s">
        <v>63</v>
      </c>
      <c r="B4" s="3" t="s">
        <v>64</v>
      </c>
      <c r="C4" s="3" t="s">
        <v>65</v>
      </c>
      <c r="D4" s="3" t="s">
        <v>66</v>
      </c>
    </row>
    <row r="5" customFormat="false" ht="15" hidden="false" customHeight="false" outlineLevel="0" collapsed="false">
      <c r="A5" s="4" t="s">
        <v>67</v>
      </c>
      <c r="B5" s="4" t="n">
        <v>0.5</v>
      </c>
      <c r="C5" s="4" t="n">
        <v>0.6</v>
      </c>
      <c r="D5" s="4" t="n">
        <f aca="false">C5-B5</f>
        <v>0.1</v>
      </c>
    </row>
    <row r="6" customFormat="false" ht="15" hidden="false" customHeight="false" outlineLevel="0" collapsed="false">
      <c r="A6" s="4" t="s">
        <v>68</v>
      </c>
      <c r="B6" s="4" t="n">
        <v>2.5</v>
      </c>
      <c r="C6" s="4" t="n">
        <v>5.4</v>
      </c>
      <c r="D6" s="4" t="n">
        <f aca="false">C6-B6</f>
        <v>2.9</v>
      </c>
    </row>
    <row r="7" customFormat="false" ht="15" hidden="false" customHeight="false" outlineLevel="0" collapsed="false">
      <c r="A7" s="4" t="s">
        <v>69</v>
      </c>
      <c r="B7" s="4" t="n">
        <v>7.9</v>
      </c>
      <c r="C7" s="4" t="n">
        <v>27.9</v>
      </c>
      <c r="D7" s="4" t="n">
        <f aca="false">C7-B7</f>
        <v>20</v>
      </c>
    </row>
    <row r="10" customFormat="false" ht="15" hidden="false" customHeight="false" outlineLevel="0" collapsed="false">
      <c r="A10" s="9" t="s">
        <v>70</v>
      </c>
    </row>
    <row r="11" customFormat="false" ht="26.85" hidden="false" customHeight="false" outlineLevel="0" collapsed="false">
      <c r="A11" s="3" t="s">
        <v>71</v>
      </c>
      <c r="B11" s="3" t="s">
        <v>15</v>
      </c>
      <c r="C11" s="3" t="s">
        <v>72</v>
      </c>
    </row>
    <row r="12" customFormat="false" ht="15" hidden="false" customHeight="false" outlineLevel="0" collapsed="false">
      <c r="A12" s="4" t="s">
        <v>73</v>
      </c>
      <c r="B12" s="4" t="n">
        <v>87746</v>
      </c>
      <c r="C12" s="6" t="n">
        <v>0.054</v>
      </c>
    </row>
    <row r="13" customFormat="false" ht="15" hidden="false" customHeight="false" outlineLevel="0" collapsed="false">
      <c r="A13" s="4" t="s">
        <v>74</v>
      </c>
      <c r="B13" s="4" t="n">
        <v>8723</v>
      </c>
      <c r="C13" s="6" t="n">
        <v>0.208</v>
      </c>
    </row>
    <row r="16" customFormat="false" ht="15" hidden="false" customHeight="false" outlineLevel="0" collapsed="false">
      <c r="A16" s="9" t="s">
        <v>75</v>
      </c>
    </row>
    <row r="17" customFormat="false" ht="39.55" hidden="false" customHeight="false" outlineLevel="0" collapsed="false">
      <c r="A17" s="3" t="s">
        <v>76</v>
      </c>
      <c r="B17" s="3" t="s">
        <v>15</v>
      </c>
      <c r="C17" s="3" t="s">
        <v>17</v>
      </c>
      <c r="D17" s="3" t="s">
        <v>16</v>
      </c>
    </row>
    <row r="18" customFormat="false" ht="15" hidden="false" customHeight="false" outlineLevel="0" collapsed="false">
      <c r="A18" s="4" t="s">
        <v>77</v>
      </c>
      <c r="B18" s="4" t="n">
        <v>61895</v>
      </c>
      <c r="C18" s="4" t="n">
        <v>15.1</v>
      </c>
      <c r="D18" s="6" t="n">
        <v>0.08</v>
      </c>
    </row>
    <row r="19" customFormat="false" ht="15" hidden="false" customHeight="false" outlineLevel="0" collapsed="false">
      <c r="A19" s="4" t="s">
        <v>78</v>
      </c>
      <c r="B19" s="4" t="n">
        <v>34575</v>
      </c>
      <c r="C19" s="4" t="n">
        <v>7.9</v>
      </c>
      <c r="D19" s="6" t="n">
        <v>0.045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" t="s">
        <v>79</v>
      </c>
    </row>
    <row r="2" customFormat="false" ht="15" hidden="false" customHeight="false" outlineLevel="0" collapsed="false">
      <c r="A2" s="2" t="s">
        <v>80</v>
      </c>
    </row>
    <row r="4" customFormat="false" ht="26.85" hidden="false" customHeight="false" outlineLevel="0" collapsed="false">
      <c r="A4" s="3" t="s">
        <v>81</v>
      </c>
      <c r="B4" s="3" t="s">
        <v>82</v>
      </c>
      <c r="C4" s="3" t="s">
        <v>83</v>
      </c>
      <c r="D4" s="3" t="s">
        <v>84</v>
      </c>
    </row>
    <row r="5" customFormat="false" ht="15" hidden="false" customHeight="false" outlineLevel="0" collapsed="false">
      <c r="A5" s="4" t="s">
        <v>85</v>
      </c>
      <c r="B5" s="4" t="n">
        <v>89943</v>
      </c>
      <c r="C5" s="4" t="n">
        <v>4.29</v>
      </c>
      <c r="D5" s="6" t="n">
        <v>0.093</v>
      </c>
    </row>
    <row r="6" customFormat="false" ht="15" hidden="false" customHeight="false" outlineLevel="0" collapsed="false">
      <c r="A6" s="4" t="s">
        <v>86</v>
      </c>
      <c r="B6" s="4" t="n">
        <v>1856</v>
      </c>
      <c r="C6" s="4" t="n">
        <v>3.29</v>
      </c>
      <c r="D6" s="6" t="n">
        <v>0.322</v>
      </c>
    </row>
    <row r="7" customFormat="false" ht="15" hidden="false" customHeight="false" outlineLevel="0" collapsed="false">
      <c r="A7" s="4" t="s">
        <v>87</v>
      </c>
      <c r="B7" s="4" t="n">
        <v>1756</v>
      </c>
      <c r="C7" s="4" t="n">
        <v>2.1</v>
      </c>
      <c r="D7" s="6" t="n">
        <v>0.677</v>
      </c>
    </row>
    <row r="8" customFormat="false" ht="15" hidden="false" customHeight="false" outlineLevel="0" collapsed="false">
      <c r="A8" s="4" t="s">
        <v>88</v>
      </c>
      <c r="B8" s="4" t="n">
        <v>2797</v>
      </c>
      <c r="C8" s="4" t="n">
        <v>1.7</v>
      </c>
      <c r="D8" s="6" t="n">
        <v>0.792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2026-10-01T19:54:42Z</dcterms:created>
  <dc:creator>openpyxl</dc:creator>
  <dc:description/>
  <dc:language>en-US</dc:language>
  <cp:lastModifiedBy/>
  <dcterms:modified xsi:type="dcterms:W3CDTF">2026-10-01T19:54:44Z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